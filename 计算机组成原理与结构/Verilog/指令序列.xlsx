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dan\Desktop\Meterial\计算机组成原理与结构\ex\"/>
    </mc:Choice>
  </mc:AlternateContent>
  <xr:revisionPtr revIDLastSave="0" documentId="13_ncr:1_{70FB9244-50E6-47AD-B117-C44E435CA73D}" xr6:coauthVersionLast="47" xr6:coauthVersionMax="47" xr10:uidLastSave="{00000000-0000-0000-0000-000000000000}"/>
  <bookViews>
    <workbookView xWindow="-110" yWindow="-110" windowWidth="25820" windowHeight="14020" xr2:uid="{FD40252F-D4B3-4672-9504-1BF21EA799AD}"/>
  </bookViews>
  <sheets>
    <sheet name="Sheet1" sheetId="1" r:id="rId1"/>
  </sheets>
  <definedNames>
    <definedName name="_xlnm._FilterDatabase" localSheetId="0" hidden="1">Sheet1!$M$1:$N$94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1" i="1"/>
</calcChain>
</file>

<file path=xl/sharedStrings.xml><?xml version="1.0" encoding="utf-8"?>
<sst xmlns="http://schemas.openxmlformats.org/spreadsheetml/2006/main" count="162" uniqueCount="35">
  <si>
    <t>addi x5, x0, 4</t>
  </si>
  <si>
    <t>auipc x6, 0x0000fc10</t>
  </si>
  <si>
    <t>addi x6, x6, 0xfffffffc</t>
  </si>
  <si>
    <t>addi x30, x0, 1</t>
  </si>
  <si>
    <t>addi x5, x5, -1</t>
  </si>
  <si>
    <t>addi x7, x0, 0</t>
  </si>
  <si>
    <t>lw x28, 0(x6)</t>
  </si>
  <si>
    <t>lw x29, 4(x6)</t>
  </si>
  <si>
    <t>addi x29, x28, 0x0000000c</t>
  </si>
  <si>
    <t>sw x29, 0(x6)</t>
  </si>
  <si>
    <t>sw x28, 4(x6)</t>
  </si>
  <si>
    <t>addi x6, x6, 4</t>
  </si>
  <si>
    <t>addi x7, x7, 1</t>
  </si>
  <si>
    <t>addi x5, x7, 0xffffffe4</t>
  </si>
  <si>
    <t>addi x6, x6, 0xffffffc8</t>
  </si>
  <si>
    <t>bge x5, x30, 0xffffffd0</t>
  </si>
  <si>
    <t>0fc10317</t>
  </si>
  <si>
    <t>ffc30313</t>
  </si>
  <si>
    <t>00100f13</t>
  </si>
  <si>
    <t>fff28293</t>
  </si>
  <si>
    <t>01ced663</t>
  </si>
  <si>
    <t>01d32023</t>
  </si>
  <si>
    <t>01c32223</t>
  </si>
  <si>
    <t>fe72d2e3</t>
  </si>
  <si>
    <t>fc830313</t>
  </si>
  <si>
    <t>fde2d8e3</t>
  </si>
  <si>
    <t>00400293</t>
  </si>
  <si>
    <t>00000393</t>
  </si>
  <si>
    <t>00032e03</t>
  </si>
  <si>
    <t>00432e83</t>
  </si>
  <si>
    <t>00430313</t>
  </si>
  <si>
    <t>00138393</t>
  </si>
  <si>
    <t>00400293</t>
    <phoneticPr fontId="1" type="noConversion"/>
  </si>
  <si>
    <t>x</t>
  </si>
  <si>
    <t xml:space="preserve">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</si>
</sst>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E9E9-884A-40D5-A227-AD09B6971BBD}">
  <dimension ref="B1:X94"/>
  <sheetViews>
    <sheetView tabSelected="1" topLeftCell="M1" workbookViewId="0">
      <selection activeCell="P9" sqref="P9"/>
    </sheetView>
  </sheetViews>
  <sheetFormatPr defaultRowHeight="14" x14ac:dyDescent="0.3"/>
  <cols>
    <col min="2" max="2" width="11.4140625" style="2" bestFit="1" customWidth="1"/>
    <col min="3" max="3" width="23.25" style="1" bestFit="1" customWidth="1"/>
    <col min="5" max="5" width="7.9140625" customWidth="1"/>
    <col min="11" max="11" width="4.1640625" customWidth="1"/>
    <col min="12" max="12" width="8.6640625" hidden="1" customWidth="1"/>
    <col min="13" max="13" width="9.75" style="2" bestFit="1" customWidth="1"/>
    <col min="14" max="14" width="22" customWidth="1"/>
    <col min="16" max="16" width="11.25" style="1" bestFit="1" customWidth="1"/>
    <col min="17" max="18" width="2.1640625" bestFit="1" customWidth="1"/>
    <col min="19" max="19" width="8.6640625" style="1"/>
    <col min="20" max="21" width="3.1640625" style="1" bestFit="1" customWidth="1"/>
    <col min="22" max="22" width="11.25" style="1" bestFit="1" customWidth="1"/>
  </cols>
  <sheetData>
    <row r="1" spans="2:24" x14ac:dyDescent="0.3">
      <c r="B1" s="2" t="s">
        <v>32</v>
      </c>
      <c r="C1" s="1" t="s">
        <v>0</v>
      </c>
      <c r="M1" s="2" t="s">
        <v>26</v>
      </c>
      <c r="N1" t="str">
        <f>VLOOKUP(M1,$B$1:$C$17,2,0)</f>
        <v>addi x5, x0, 4</v>
      </c>
      <c r="P1" s="1">
        <v>4</v>
      </c>
      <c r="S1" s="1">
        <v>0</v>
      </c>
      <c r="T1" s="1">
        <v>5</v>
      </c>
      <c r="U1" s="1">
        <v>4</v>
      </c>
      <c r="V1" s="1">
        <v>4</v>
      </c>
      <c r="X1" t="str">
        <f>IF(S1,_xlfn.TEXTJOIN(" ",1,"DataMemory[",P1,"]Change From",Q1,"To",R1),_xlfn.TEXTJOIN(" ",1,"Register[",T1,"]Change From",U1,"To",V1))</f>
        <v>Register[ 5 ]Change From 4 To 4</v>
      </c>
    </row>
    <row r="2" spans="2:24" x14ac:dyDescent="0.3">
      <c r="B2" s="2" t="s">
        <v>16</v>
      </c>
      <c r="C2" s="1" t="s">
        <v>1</v>
      </c>
      <c r="M2" s="2" t="s">
        <v>16</v>
      </c>
      <c r="N2" t="str">
        <f>VLOOKUP(M2,$B$1:$C$17,2,0)</f>
        <v>auipc x6, 0x0000fc10</v>
      </c>
      <c r="P2" s="1" t="s">
        <v>34</v>
      </c>
      <c r="S2" s="1">
        <v>0</v>
      </c>
      <c r="T2" s="1">
        <v>6</v>
      </c>
      <c r="U2" s="1" t="s">
        <v>33</v>
      </c>
      <c r="V2" s="1">
        <v>4</v>
      </c>
      <c r="X2" t="str">
        <f t="shared" ref="X2:X65" si="0">IF(S2,_xlfn.TEXTJOIN(" ",1,"DataMemory[",P2,"]Change From",Q2,"To",R2),_xlfn.TEXTJOIN(" ",1,"Register[",T2,"]Change From",U2,"To",V2))</f>
        <v>Register[ 6 ]Change From x To 4</v>
      </c>
    </row>
    <row r="3" spans="2:24" x14ac:dyDescent="0.3">
      <c r="B3" s="2" t="s">
        <v>17</v>
      </c>
      <c r="C3" s="1" t="s">
        <v>2</v>
      </c>
      <c r="M3" s="2" t="s">
        <v>17</v>
      </c>
      <c r="N3" t="str">
        <f>VLOOKUP(M3,$B$1:$C$17,2,0)</f>
        <v>addi x6, x6, 0xfffffffc</v>
      </c>
      <c r="P3" s="1">
        <v>0</v>
      </c>
      <c r="S3" s="1">
        <v>0</v>
      </c>
      <c r="T3" s="1">
        <v>6</v>
      </c>
      <c r="U3" s="1">
        <v>4</v>
      </c>
      <c r="V3" s="1">
        <v>0</v>
      </c>
      <c r="X3" t="str">
        <f t="shared" si="0"/>
        <v>Register[ 6 ]Change From 4 To 0</v>
      </c>
    </row>
    <row r="4" spans="2:24" x14ac:dyDescent="0.3">
      <c r="B4" s="2" t="s">
        <v>18</v>
      </c>
      <c r="C4" s="1" t="s">
        <v>3</v>
      </c>
      <c r="M4" s="2" t="s">
        <v>18</v>
      </c>
      <c r="N4" t="str">
        <f>VLOOKUP(M4,$B$1:$C$17,2,0)</f>
        <v>addi x30, x0, 1</v>
      </c>
      <c r="P4" s="1">
        <v>1</v>
      </c>
      <c r="S4" s="1">
        <v>0</v>
      </c>
      <c r="T4" s="1">
        <v>30</v>
      </c>
      <c r="U4" s="1" t="s">
        <v>33</v>
      </c>
      <c r="V4" s="1">
        <v>1</v>
      </c>
      <c r="X4" t="str">
        <f t="shared" si="0"/>
        <v>Register[ 30 ]Change From x To 1</v>
      </c>
    </row>
    <row r="5" spans="2:24" x14ac:dyDescent="0.3">
      <c r="B5" s="2" t="s">
        <v>19</v>
      </c>
      <c r="C5" s="1" t="s">
        <v>4</v>
      </c>
      <c r="M5" s="2" t="s">
        <v>19</v>
      </c>
      <c r="N5" t="str">
        <f>VLOOKUP(M5,$B$1:$C$17,2,0)</f>
        <v>addi x5, x5, -1</v>
      </c>
      <c r="P5" s="1">
        <v>3</v>
      </c>
      <c r="S5" s="1">
        <v>0</v>
      </c>
      <c r="T5" s="1">
        <v>5</v>
      </c>
      <c r="U5" s="1">
        <v>4</v>
      </c>
      <c r="V5" s="1">
        <v>3</v>
      </c>
      <c r="X5" t="str">
        <f t="shared" si="0"/>
        <v>Register[ 5 ]Change From 4 To 3</v>
      </c>
    </row>
    <row r="6" spans="2:24" x14ac:dyDescent="0.3">
      <c r="B6" s="2" t="s">
        <v>27</v>
      </c>
      <c r="C6" s="1" t="s">
        <v>5</v>
      </c>
      <c r="M6" s="2" t="s">
        <v>27</v>
      </c>
      <c r="N6" t="str">
        <f>VLOOKUP(M6,$B$1:$C$17,2,0)</f>
        <v>addi x7, x0, 0</v>
      </c>
      <c r="P6" s="1">
        <v>0</v>
      </c>
      <c r="S6" s="1">
        <v>0</v>
      </c>
      <c r="T6" s="1">
        <v>7</v>
      </c>
      <c r="U6" s="1" t="s">
        <v>33</v>
      </c>
      <c r="V6" s="1">
        <v>0</v>
      </c>
      <c r="X6" t="str">
        <f t="shared" si="0"/>
        <v>Register[ 7 ]Change From x To 0</v>
      </c>
    </row>
    <row r="7" spans="2:24" x14ac:dyDescent="0.3">
      <c r="B7" s="2" t="s">
        <v>28</v>
      </c>
      <c r="C7" s="1" t="s">
        <v>6</v>
      </c>
      <c r="M7" s="2" t="s">
        <v>28</v>
      </c>
      <c r="N7" t="str">
        <f>VLOOKUP(M7,$B$1:$C$17,2,0)</f>
        <v>lw x28, 0(x6)</v>
      </c>
      <c r="P7" s="1">
        <v>0</v>
      </c>
      <c r="S7" s="1">
        <v>0</v>
      </c>
      <c r="T7" s="1">
        <v>28</v>
      </c>
      <c r="U7" s="1" t="s">
        <v>33</v>
      </c>
      <c r="V7" s="1">
        <v>5</v>
      </c>
      <c r="X7" t="str">
        <f t="shared" si="0"/>
        <v>Register[ 28 ]Change From x To 5</v>
      </c>
    </row>
    <row r="8" spans="2:24" x14ac:dyDescent="0.3">
      <c r="B8" s="2" t="s">
        <v>29</v>
      </c>
      <c r="C8" s="1" t="s">
        <v>7</v>
      </c>
      <c r="M8" s="2" t="s">
        <v>29</v>
      </c>
      <c r="N8" t="str">
        <f>VLOOKUP(M8,$B$1:$C$17,2,0)</f>
        <v>lw x29, 4(x6)</v>
      </c>
      <c r="P8" s="1">
        <v>4</v>
      </c>
      <c r="S8" s="1">
        <v>0</v>
      </c>
      <c r="T8" s="1">
        <v>29</v>
      </c>
      <c r="U8" s="1" t="s">
        <v>33</v>
      </c>
      <c r="V8" s="1">
        <v>3</v>
      </c>
      <c r="X8" t="str">
        <f t="shared" si="0"/>
        <v>Register[ 29 ]Change From x To 3</v>
      </c>
    </row>
    <row r="9" spans="2:24" x14ac:dyDescent="0.3">
      <c r="B9" s="2" t="s">
        <v>20</v>
      </c>
      <c r="C9" s="1" t="s">
        <v>8</v>
      </c>
      <c r="M9" s="2" t="s">
        <v>20</v>
      </c>
      <c r="N9" t="str">
        <f>VLOOKUP(M9,$B$1:$C$17,2,0)</f>
        <v>addi x29, x28, 0x0000000c</v>
      </c>
      <c r="P9" s="1">
        <v>4294967294</v>
      </c>
      <c r="S9" s="1">
        <v>0</v>
      </c>
      <c r="T9" s="1">
        <v>12</v>
      </c>
      <c r="U9" s="1" t="s">
        <v>33</v>
      </c>
      <c r="V9" s="1">
        <v>4294967294</v>
      </c>
      <c r="X9" t="str">
        <f t="shared" si="0"/>
        <v>Register[ 12 ]Change From x To 4294967294</v>
      </c>
    </row>
    <row r="10" spans="2:24" x14ac:dyDescent="0.3">
      <c r="B10" s="2" t="s">
        <v>21</v>
      </c>
      <c r="C10" s="1" t="s">
        <v>9</v>
      </c>
      <c r="M10" s="2" t="s">
        <v>21</v>
      </c>
      <c r="N10" t="str">
        <f>VLOOKUP(M10,$B$1:$C$17,2,0)</f>
        <v>sw x29, 0(x6)</v>
      </c>
      <c r="P10" s="1">
        <v>0</v>
      </c>
      <c r="Q10">
        <v>5</v>
      </c>
      <c r="R10">
        <v>3</v>
      </c>
      <c r="S10" s="1">
        <v>1</v>
      </c>
      <c r="T10" s="1">
        <v>0</v>
      </c>
      <c r="U10" s="1" t="s">
        <v>33</v>
      </c>
      <c r="V10" s="1">
        <v>0</v>
      </c>
      <c r="X10" t="str">
        <f t="shared" si="0"/>
        <v>DataMemory[ 0 ]Change From 5 To 3</v>
      </c>
    </row>
    <row r="11" spans="2:24" x14ac:dyDescent="0.3">
      <c r="B11" s="2" t="s">
        <v>22</v>
      </c>
      <c r="C11" s="1" t="s">
        <v>10</v>
      </c>
      <c r="M11" s="2" t="s">
        <v>22</v>
      </c>
      <c r="N11" t="str">
        <f>VLOOKUP(M11,$B$1:$C$17,2,0)</f>
        <v>sw x28, 4(x6)</v>
      </c>
      <c r="P11" s="1">
        <v>4</v>
      </c>
      <c r="Q11">
        <v>3</v>
      </c>
      <c r="R11">
        <v>5</v>
      </c>
      <c r="S11" s="1">
        <v>1</v>
      </c>
      <c r="T11" s="1">
        <v>4</v>
      </c>
      <c r="U11" s="1" t="s">
        <v>33</v>
      </c>
      <c r="V11" s="1">
        <v>4</v>
      </c>
      <c r="X11" t="str">
        <f t="shared" si="0"/>
        <v>DataMemory[ 4 ]Change From 3 To 5</v>
      </c>
    </row>
    <row r="12" spans="2:24" x14ac:dyDescent="0.3">
      <c r="B12" s="2" t="s">
        <v>30</v>
      </c>
      <c r="C12" s="1" t="s">
        <v>11</v>
      </c>
      <c r="M12" s="2" t="s">
        <v>30</v>
      </c>
      <c r="N12" t="str">
        <f>VLOOKUP(M12,$B$1:$C$17,2,0)</f>
        <v>addi x6, x6, 4</v>
      </c>
      <c r="P12" s="1">
        <v>4</v>
      </c>
      <c r="S12" s="1">
        <v>0</v>
      </c>
      <c r="T12" s="1">
        <v>6</v>
      </c>
      <c r="U12" s="1">
        <v>0</v>
      </c>
      <c r="V12" s="1">
        <v>4</v>
      </c>
      <c r="X12" t="str">
        <f t="shared" si="0"/>
        <v>Register[ 6 ]Change From 0 To 4</v>
      </c>
    </row>
    <row r="13" spans="2:24" x14ac:dyDescent="0.3">
      <c r="B13" s="2" t="s">
        <v>31</v>
      </c>
      <c r="C13" s="1" t="s">
        <v>12</v>
      </c>
      <c r="M13" s="2" t="s">
        <v>31</v>
      </c>
      <c r="N13" t="str">
        <f>VLOOKUP(M13,$B$1:$C$17,2,0)</f>
        <v>addi x7, x7, 1</v>
      </c>
      <c r="P13" s="1">
        <v>1</v>
      </c>
      <c r="S13" s="1">
        <v>0</v>
      </c>
      <c r="T13" s="1">
        <v>7</v>
      </c>
      <c r="U13" s="1">
        <v>0</v>
      </c>
      <c r="V13" s="1">
        <v>1</v>
      </c>
      <c r="X13" t="str">
        <f t="shared" si="0"/>
        <v>Register[ 7 ]Change From 0 To 1</v>
      </c>
    </row>
    <row r="14" spans="2:24" x14ac:dyDescent="0.3">
      <c r="B14" s="2" t="s">
        <v>23</v>
      </c>
      <c r="C14" s="1" t="s">
        <v>13</v>
      </c>
      <c r="M14" s="2" t="s">
        <v>23</v>
      </c>
      <c r="N14" t="str">
        <f>VLOOKUP(M14,$B$1:$C$17,2,0)</f>
        <v>addi x5, x7, 0xffffffe4</v>
      </c>
      <c r="P14" s="1">
        <v>2</v>
      </c>
      <c r="S14" s="1">
        <v>0</v>
      </c>
      <c r="T14" s="1">
        <v>5</v>
      </c>
      <c r="U14" s="1">
        <v>3</v>
      </c>
      <c r="V14" s="1">
        <v>2</v>
      </c>
      <c r="X14" t="str">
        <f t="shared" si="0"/>
        <v>Register[ 5 ]Change From 3 To 2</v>
      </c>
    </row>
    <row r="15" spans="2:24" x14ac:dyDescent="0.3">
      <c r="B15" s="2" t="s">
        <v>16</v>
      </c>
      <c r="C15" s="1" t="s">
        <v>1</v>
      </c>
      <c r="M15" s="2" t="s">
        <v>28</v>
      </c>
      <c r="N15" t="str">
        <f>VLOOKUP(M15,$B$1:$C$17,2,0)</f>
        <v>lw x28, 0(x6)</v>
      </c>
      <c r="P15" s="1">
        <v>4</v>
      </c>
      <c r="S15" s="1">
        <v>0</v>
      </c>
      <c r="T15" s="1">
        <v>28</v>
      </c>
      <c r="U15" s="1">
        <v>5</v>
      </c>
      <c r="V15" s="1">
        <v>5</v>
      </c>
      <c r="X15" t="str">
        <f t="shared" si="0"/>
        <v>Register[ 28 ]Change From 5 To 5</v>
      </c>
    </row>
    <row r="16" spans="2:24" x14ac:dyDescent="0.3">
      <c r="B16" s="2" t="s">
        <v>24</v>
      </c>
      <c r="C16" s="1" t="s">
        <v>14</v>
      </c>
      <c r="M16" s="2" t="s">
        <v>29</v>
      </c>
      <c r="N16" t="str">
        <f>VLOOKUP(M16,$B$1:$C$17,2,0)</f>
        <v>lw x29, 4(x6)</v>
      </c>
      <c r="P16" s="1">
        <v>8</v>
      </c>
      <c r="S16" s="1">
        <v>0</v>
      </c>
      <c r="T16" s="1">
        <v>29</v>
      </c>
      <c r="U16" s="1">
        <v>3</v>
      </c>
      <c r="V16" s="1">
        <v>8</v>
      </c>
      <c r="X16" t="str">
        <f t="shared" si="0"/>
        <v>Register[ 29 ]Change From 3 To 8</v>
      </c>
    </row>
    <row r="17" spans="2:24" x14ac:dyDescent="0.3">
      <c r="B17" s="2" t="s">
        <v>25</v>
      </c>
      <c r="C17" s="1" t="s">
        <v>15</v>
      </c>
      <c r="M17" s="2" t="s">
        <v>20</v>
      </c>
      <c r="N17" t="str">
        <f>VLOOKUP(M17,$B$1:$C$17,2,0)</f>
        <v>addi x29, x28, 0x0000000c</v>
      </c>
      <c r="P17" s="1">
        <v>3</v>
      </c>
      <c r="S17" s="1">
        <v>0</v>
      </c>
      <c r="T17" s="1">
        <v>12</v>
      </c>
      <c r="U17" s="1" t="s">
        <v>33</v>
      </c>
      <c r="V17" s="1">
        <v>3</v>
      </c>
      <c r="X17" t="str">
        <f t="shared" si="0"/>
        <v>Register[ 12 ]Change From x To 3</v>
      </c>
    </row>
    <row r="18" spans="2:24" x14ac:dyDescent="0.3">
      <c r="M18" s="2" t="s">
        <v>30</v>
      </c>
      <c r="N18" t="str">
        <f>VLOOKUP(M18,$B$1:$C$17,2,0)</f>
        <v>addi x6, x6, 4</v>
      </c>
      <c r="P18" s="1">
        <v>8</v>
      </c>
      <c r="S18" s="1">
        <v>0</v>
      </c>
      <c r="T18" s="1">
        <v>6</v>
      </c>
      <c r="U18" s="1">
        <v>4</v>
      </c>
      <c r="V18" s="1">
        <v>8</v>
      </c>
      <c r="X18" t="str">
        <f t="shared" si="0"/>
        <v>Register[ 6 ]Change From 4 To 8</v>
      </c>
    </row>
    <row r="19" spans="2:24" x14ac:dyDescent="0.3">
      <c r="M19" s="2" t="s">
        <v>31</v>
      </c>
      <c r="N19" t="str">
        <f>VLOOKUP(M19,$B$1:$C$17,2,0)</f>
        <v>addi x7, x7, 1</v>
      </c>
      <c r="P19" s="1">
        <v>2</v>
      </c>
      <c r="S19" s="1">
        <v>0</v>
      </c>
      <c r="T19" s="1">
        <v>7</v>
      </c>
      <c r="U19" s="1">
        <v>1</v>
      </c>
      <c r="V19" s="1">
        <v>2</v>
      </c>
      <c r="X19" t="str">
        <f t="shared" si="0"/>
        <v>Register[ 7 ]Change From 1 To 2</v>
      </c>
    </row>
    <row r="20" spans="2:24" x14ac:dyDescent="0.3">
      <c r="M20" s="2" t="s">
        <v>23</v>
      </c>
      <c r="N20" t="str">
        <f>VLOOKUP(M20,$B$1:$C$17,2,0)</f>
        <v>addi x5, x7, 0xffffffe4</v>
      </c>
      <c r="P20" s="1">
        <v>1</v>
      </c>
      <c r="S20" s="1">
        <v>0</v>
      </c>
      <c r="T20" s="1">
        <v>5</v>
      </c>
      <c r="U20" s="1">
        <v>3</v>
      </c>
      <c r="V20" s="1">
        <v>1</v>
      </c>
      <c r="X20" t="str">
        <f t="shared" si="0"/>
        <v>Register[ 5 ]Change From 3 To 1</v>
      </c>
    </row>
    <row r="21" spans="2:24" x14ac:dyDescent="0.3">
      <c r="M21" s="2" t="s">
        <v>28</v>
      </c>
      <c r="N21" t="str">
        <f>VLOOKUP(M21,$B$1:$C$17,2,0)</f>
        <v>lw x28, 0(x6)</v>
      </c>
      <c r="P21" s="1">
        <v>8</v>
      </c>
      <c r="S21" s="1">
        <v>0</v>
      </c>
      <c r="T21" s="1">
        <v>28</v>
      </c>
      <c r="U21" s="1">
        <v>5</v>
      </c>
      <c r="V21" s="1">
        <v>8</v>
      </c>
      <c r="X21" t="str">
        <f t="shared" si="0"/>
        <v>Register[ 28 ]Change From 5 To 8</v>
      </c>
    </row>
    <row r="22" spans="2:24" x14ac:dyDescent="0.3">
      <c r="M22" s="2" t="s">
        <v>29</v>
      </c>
      <c r="N22" t="str">
        <f>VLOOKUP(M22,$B$1:$C$17,2,0)</f>
        <v>lw x29, 4(x6)</v>
      </c>
      <c r="P22" s="1">
        <v>12</v>
      </c>
      <c r="S22" s="1">
        <v>0</v>
      </c>
      <c r="T22" s="1">
        <v>29</v>
      </c>
      <c r="U22" s="1">
        <v>8</v>
      </c>
      <c r="V22" s="1">
        <v>1</v>
      </c>
      <c r="X22" t="str">
        <f t="shared" si="0"/>
        <v>Register[ 29 ]Change From 8 To 1</v>
      </c>
    </row>
    <row r="23" spans="2:24" x14ac:dyDescent="0.3">
      <c r="M23" s="2" t="s">
        <v>20</v>
      </c>
      <c r="N23" t="str">
        <f>VLOOKUP(M23,$B$1:$C$17,2,0)</f>
        <v>addi x29, x28, 0x0000000c</v>
      </c>
      <c r="P23" s="1">
        <v>4294967289</v>
      </c>
      <c r="S23" s="1">
        <v>0</v>
      </c>
      <c r="T23" s="1">
        <v>12</v>
      </c>
      <c r="U23" s="1" t="s">
        <v>33</v>
      </c>
      <c r="V23" s="1">
        <v>4294967289</v>
      </c>
      <c r="X23" t="str">
        <f t="shared" si="0"/>
        <v>Register[ 12 ]Change From x To 4294967289</v>
      </c>
    </row>
    <row r="24" spans="2:24" x14ac:dyDescent="0.3">
      <c r="M24" s="2" t="s">
        <v>21</v>
      </c>
      <c r="N24" t="str">
        <f>VLOOKUP(M24,$B$1:$C$17,2,0)</f>
        <v>sw x29, 0(x6)</v>
      </c>
      <c r="P24" s="1">
        <v>8</v>
      </c>
      <c r="Q24">
        <v>8</v>
      </c>
      <c r="R24">
        <v>1</v>
      </c>
      <c r="S24" s="1">
        <v>1</v>
      </c>
      <c r="T24" s="1">
        <v>0</v>
      </c>
      <c r="U24" s="1" t="s">
        <v>33</v>
      </c>
      <c r="V24" s="1">
        <v>8</v>
      </c>
      <c r="X24" t="str">
        <f t="shared" si="0"/>
        <v>DataMemory[ 8 ]Change From 8 To 1</v>
      </c>
    </row>
    <row r="25" spans="2:24" x14ac:dyDescent="0.3">
      <c r="M25" s="2" t="s">
        <v>22</v>
      </c>
      <c r="N25" t="str">
        <f>VLOOKUP(M25,$B$1:$C$17,2,0)</f>
        <v>sw x28, 4(x6)</v>
      </c>
      <c r="P25" s="1">
        <v>12</v>
      </c>
      <c r="Q25">
        <v>1</v>
      </c>
      <c r="R25">
        <v>8</v>
      </c>
      <c r="S25" s="1">
        <v>1</v>
      </c>
      <c r="T25" s="1">
        <v>4</v>
      </c>
      <c r="U25" s="1" t="s">
        <v>33</v>
      </c>
      <c r="V25" s="1">
        <v>12</v>
      </c>
      <c r="X25" t="str">
        <f t="shared" si="0"/>
        <v>DataMemory[ 12 ]Change From 1 To 8</v>
      </c>
    </row>
    <row r="26" spans="2:24" x14ac:dyDescent="0.3">
      <c r="M26" s="2" t="s">
        <v>30</v>
      </c>
      <c r="N26" t="str">
        <f>VLOOKUP(M26,$B$1:$C$17,2,0)</f>
        <v>addi x6, x6, 4</v>
      </c>
      <c r="P26" s="1">
        <v>12</v>
      </c>
      <c r="S26" s="1">
        <v>0</v>
      </c>
      <c r="T26" s="1">
        <v>6</v>
      </c>
      <c r="U26" s="1">
        <v>8</v>
      </c>
      <c r="V26" s="1">
        <v>12</v>
      </c>
      <c r="X26" t="str">
        <f t="shared" si="0"/>
        <v>Register[ 6 ]Change From 8 To 12</v>
      </c>
    </row>
    <row r="27" spans="2:24" x14ac:dyDescent="0.3">
      <c r="M27" s="2" t="s">
        <v>31</v>
      </c>
      <c r="N27" t="str">
        <f>VLOOKUP(M27,$B$1:$C$17,2,0)</f>
        <v>addi x7, x7, 1</v>
      </c>
      <c r="P27" s="1">
        <v>3</v>
      </c>
      <c r="S27" s="1">
        <v>0</v>
      </c>
      <c r="T27" s="1">
        <v>7</v>
      </c>
      <c r="U27" s="1">
        <v>2</v>
      </c>
      <c r="V27" s="1">
        <v>3</v>
      </c>
      <c r="X27" t="str">
        <f t="shared" si="0"/>
        <v>Register[ 7 ]Change From 2 To 3</v>
      </c>
    </row>
    <row r="28" spans="2:24" x14ac:dyDescent="0.3">
      <c r="M28" s="2" t="s">
        <v>23</v>
      </c>
      <c r="N28" t="str">
        <f>VLOOKUP(M28,$B$1:$C$17,2,0)</f>
        <v>addi x5, x7, 0xffffffe4</v>
      </c>
      <c r="P28" s="1">
        <v>0</v>
      </c>
      <c r="S28" s="1">
        <v>0</v>
      </c>
      <c r="T28" s="1">
        <v>5</v>
      </c>
      <c r="U28" s="1">
        <v>3</v>
      </c>
      <c r="V28" s="1">
        <v>0</v>
      </c>
      <c r="X28" t="str">
        <f t="shared" si="0"/>
        <v>Register[ 5 ]Change From 3 To 0</v>
      </c>
    </row>
    <row r="29" spans="2:24" x14ac:dyDescent="0.3">
      <c r="M29" s="2" t="s">
        <v>28</v>
      </c>
      <c r="N29" t="str">
        <f>VLOOKUP(M29,$B$1:$C$17,2,0)</f>
        <v>lw x28, 0(x6)</v>
      </c>
      <c r="P29" s="1">
        <v>12</v>
      </c>
      <c r="S29" s="1">
        <v>0</v>
      </c>
      <c r="T29" s="1">
        <v>28</v>
      </c>
      <c r="U29" s="1">
        <v>8</v>
      </c>
      <c r="V29" s="1">
        <v>8</v>
      </c>
      <c r="X29" t="str">
        <f t="shared" si="0"/>
        <v>Register[ 28 ]Change From 8 To 8</v>
      </c>
    </row>
    <row r="30" spans="2:24" x14ac:dyDescent="0.3">
      <c r="M30" s="2" t="s">
        <v>29</v>
      </c>
      <c r="N30" t="str">
        <f>VLOOKUP(M30,$B$1:$C$17,2,0)</f>
        <v>lw x29, 4(x6)</v>
      </c>
      <c r="P30" s="1">
        <v>16</v>
      </c>
      <c r="S30" s="1">
        <v>0</v>
      </c>
      <c r="T30" s="1">
        <v>29</v>
      </c>
      <c r="U30" s="1">
        <v>1</v>
      </c>
      <c r="V30" s="1">
        <v>7</v>
      </c>
      <c r="X30" t="str">
        <f t="shared" si="0"/>
        <v>Register[ 29 ]Change From 1 To 7</v>
      </c>
    </row>
    <row r="31" spans="2:24" x14ac:dyDescent="0.3">
      <c r="M31" s="2" t="s">
        <v>20</v>
      </c>
      <c r="N31" t="str">
        <f>VLOOKUP(M31,$B$1:$C$17,2,0)</f>
        <v>addi x29, x28, 0x0000000c</v>
      </c>
      <c r="P31" s="1">
        <v>4294967295</v>
      </c>
      <c r="S31" s="1">
        <v>0</v>
      </c>
      <c r="T31" s="1">
        <v>12</v>
      </c>
      <c r="U31" s="1" t="s">
        <v>33</v>
      </c>
      <c r="V31" s="1">
        <v>4294967295</v>
      </c>
      <c r="X31" t="str">
        <f t="shared" si="0"/>
        <v>Register[ 12 ]Change From x To 4294967295</v>
      </c>
    </row>
    <row r="32" spans="2:24" x14ac:dyDescent="0.3">
      <c r="M32" s="2" t="s">
        <v>21</v>
      </c>
      <c r="N32" t="str">
        <f>VLOOKUP(M32,$B$1:$C$17,2,0)</f>
        <v>sw x29, 0(x6)</v>
      </c>
      <c r="P32" s="1">
        <v>12</v>
      </c>
      <c r="Q32">
        <v>8</v>
      </c>
      <c r="R32">
        <v>7</v>
      </c>
      <c r="S32" s="1">
        <v>1</v>
      </c>
      <c r="T32" s="1">
        <v>0</v>
      </c>
      <c r="U32" s="1" t="s">
        <v>33</v>
      </c>
      <c r="V32" s="1">
        <v>12</v>
      </c>
      <c r="X32" t="str">
        <f t="shared" si="0"/>
        <v>DataMemory[ 12 ]Change From 8 To 7</v>
      </c>
    </row>
    <row r="33" spans="13:24" x14ac:dyDescent="0.3">
      <c r="M33" s="2" t="s">
        <v>22</v>
      </c>
      <c r="N33" t="str">
        <f>VLOOKUP(M33,$B$1:$C$17,2,0)</f>
        <v>sw x28, 4(x6)</v>
      </c>
      <c r="P33" s="1">
        <v>16</v>
      </c>
      <c r="Q33">
        <v>7</v>
      </c>
      <c r="R33">
        <v>8</v>
      </c>
      <c r="S33" s="1">
        <v>1</v>
      </c>
      <c r="T33" s="1">
        <v>4</v>
      </c>
      <c r="U33" s="1" t="s">
        <v>33</v>
      </c>
      <c r="V33" s="1">
        <v>16</v>
      </c>
      <c r="X33" t="str">
        <f t="shared" si="0"/>
        <v>DataMemory[ 16 ]Change From 7 To 8</v>
      </c>
    </row>
    <row r="34" spans="13:24" x14ac:dyDescent="0.3">
      <c r="M34" s="2" t="s">
        <v>30</v>
      </c>
      <c r="N34" t="str">
        <f>VLOOKUP(M34,$B$1:$C$17,2,0)</f>
        <v>addi x6, x6, 4</v>
      </c>
      <c r="P34" s="1">
        <v>16</v>
      </c>
      <c r="S34" s="1">
        <v>0</v>
      </c>
      <c r="T34" s="1">
        <v>6</v>
      </c>
      <c r="U34" s="1">
        <v>12</v>
      </c>
      <c r="V34" s="1">
        <v>16</v>
      </c>
      <c r="X34" t="str">
        <f t="shared" si="0"/>
        <v>Register[ 6 ]Change From 12 To 16</v>
      </c>
    </row>
    <row r="35" spans="13:24" x14ac:dyDescent="0.3">
      <c r="M35" s="2" t="s">
        <v>31</v>
      </c>
      <c r="N35" t="str">
        <f>VLOOKUP(M35,$B$1:$C$17,2,0)</f>
        <v>addi x7, x7, 1</v>
      </c>
      <c r="P35" s="1">
        <v>4</v>
      </c>
      <c r="S35" s="1">
        <v>0</v>
      </c>
      <c r="T35" s="1">
        <v>7</v>
      </c>
      <c r="U35" s="1">
        <v>3</v>
      </c>
      <c r="V35" s="1">
        <v>4</v>
      </c>
      <c r="X35" t="str">
        <f t="shared" si="0"/>
        <v>Register[ 7 ]Change From 3 To 4</v>
      </c>
    </row>
    <row r="36" spans="13:24" x14ac:dyDescent="0.3">
      <c r="M36" s="2" t="s">
        <v>23</v>
      </c>
      <c r="N36" t="str">
        <f>VLOOKUP(M36,$B$1:$C$17,2,0)</f>
        <v>addi x5, x7, 0xffffffe4</v>
      </c>
      <c r="P36" s="1">
        <v>4294967295</v>
      </c>
      <c r="S36" s="1">
        <v>0</v>
      </c>
      <c r="T36" s="1">
        <v>5</v>
      </c>
      <c r="U36" s="1">
        <v>3</v>
      </c>
      <c r="V36" s="1">
        <v>4294967295</v>
      </c>
      <c r="X36" t="str">
        <f t="shared" si="0"/>
        <v>Register[ 5 ]Change From 3 To 4294967295</v>
      </c>
    </row>
    <row r="37" spans="13:24" x14ac:dyDescent="0.3">
      <c r="M37" s="2" t="s">
        <v>16</v>
      </c>
      <c r="N37" t="str">
        <f>VLOOKUP(M37,$B$1:$C$17,2,0)</f>
        <v>auipc x6, 0x0000fc10</v>
      </c>
      <c r="P37" s="1" t="s">
        <v>34</v>
      </c>
      <c r="S37" s="1">
        <v>0</v>
      </c>
      <c r="T37" s="1">
        <v>6</v>
      </c>
      <c r="U37" s="1">
        <v>16</v>
      </c>
      <c r="V37" s="1">
        <v>56</v>
      </c>
      <c r="X37" t="str">
        <f t="shared" si="0"/>
        <v>Register[ 6 ]Change From 16 To 56</v>
      </c>
    </row>
    <row r="38" spans="13:24" x14ac:dyDescent="0.3">
      <c r="M38" s="2" t="s">
        <v>24</v>
      </c>
      <c r="N38" t="str">
        <f>VLOOKUP(M38,$B$1:$C$17,2,0)</f>
        <v>addi x6, x6, 0xffffffc8</v>
      </c>
      <c r="P38" s="1">
        <v>0</v>
      </c>
      <c r="S38" s="1">
        <v>0</v>
      </c>
      <c r="T38" s="1">
        <v>6</v>
      </c>
      <c r="U38" s="1">
        <v>56</v>
      </c>
      <c r="V38" s="1">
        <v>0</v>
      </c>
      <c r="X38" t="str">
        <f t="shared" si="0"/>
        <v>Register[ 6 ]Change From 56 To 0</v>
      </c>
    </row>
    <row r="39" spans="13:24" x14ac:dyDescent="0.3">
      <c r="M39" s="2" t="s">
        <v>25</v>
      </c>
      <c r="N39" t="str">
        <f>VLOOKUP(M39,$B$1:$C$17,2,0)</f>
        <v>bge x5, x30, 0xffffffd0</v>
      </c>
      <c r="P39" s="1">
        <v>2</v>
      </c>
      <c r="S39" s="1">
        <v>0</v>
      </c>
      <c r="T39" s="1">
        <v>17</v>
      </c>
      <c r="U39" s="1" t="s">
        <v>33</v>
      </c>
      <c r="V39" s="1">
        <v>2</v>
      </c>
      <c r="X39" t="str">
        <f t="shared" si="0"/>
        <v>Register[ 17 ]Change From x To 2</v>
      </c>
    </row>
    <row r="40" spans="13:24" x14ac:dyDescent="0.3">
      <c r="M40" s="2" t="s">
        <v>19</v>
      </c>
      <c r="N40" t="str">
        <f>VLOOKUP(M40,$B$1:$C$17,2,0)</f>
        <v>addi x5, x5, -1</v>
      </c>
      <c r="P40" s="1">
        <v>2</v>
      </c>
      <c r="S40" s="1">
        <v>0</v>
      </c>
      <c r="T40" s="1">
        <v>5</v>
      </c>
      <c r="U40" s="1">
        <v>3</v>
      </c>
      <c r="V40" s="1">
        <v>2</v>
      </c>
      <c r="X40" t="str">
        <f t="shared" si="0"/>
        <v>Register[ 5 ]Change From 3 To 2</v>
      </c>
    </row>
    <row r="41" spans="13:24" x14ac:dyDescent="0.3">
      <c r="M41" s="2" t="s">
        <v>27</v>
      </c>
      <c r="N41" t="str">
        <f>VLOOKUP(M41,$B$1:$C$17,2,0)</f>
        <v>addi x7, x0, 0</v>
      </c>
      <c r="P41" s="1">
        <v>0</v>
      </c>
      <c r="S41" s="1">
        <v>0</v>
      </c>
      <c r="T41" s="1">
        <v>7</v>
      </c>
      <c r="U41" s="1">
        <v>4</v>
      </c>
      <c r="V41" s="1">
        <v>0</v>
      </c>
      <c r="X41" t="str">
        <f t="shared" si="0"/>
        <v>Register[ 7 ]Change From 4 To 0</v>
      </c>
    </row>
    <row r="42" spans="13:24" x14ac:dyDescent="0.3">
      <c r="M42" s="2" t="s">
        <v>28</v>
      </c>
      <c r="N42" t="str">
        <f>VLOOKUP(M42,$B$1:$C$17,2,0)</f>
        <v>lw x28, 0(x6)</v>
      </c>
      <c r="P42" s="1">
        <v>0</v>
      </c>
      <c r="S42" s="1">
        <v>0</v>
      </c>
      <c r="T42" s="1">
        <v>28</v>
      </c>
      <c r="U42" s="1">
        <v>8</v>
      </c>
      <c r="V42" s="1">
        <v>3</v>
      </c>
      <c r="X42" t="str">
        <f t="shared" si="0"/>
        <v>Register[ 28 ]Change From 8 To 3</v>
      </c>
    </row>
    <row r="43" spans="13:24" x14ac:dyDescent="0.3">
      <c r="M43" s="2" t="s">
        <v>29</v>
      </c>
      <c r="N43" t="str">
        <f>VLOOKUP(M43,$B$1:$C$17,2,0)</f>
        <v>lw x29, 4(x6)</v>
      </c>
      <c r="P43" s="1">
        <v>4</v>
      </c>
      <c r="S43" s="1">
        <v>0</v>
      </c>
      <c r="T43" s="1">
        <v>29</v>
      </c>
      <c r="U43" s="1">
        <v>7</v>
      </c>
      <c r="V43" s="1">
        <v>5</v>
      </c>
      <c r="X43" t="str">
        <f t="shared" si="0"/>
        <v>Register[ 29 ]Change From 7 To 5</v>
      </c>
    </row>
    <row r="44" spans="13:24" x14ac:dyDescent="0.3">
      <c r="M44" s="2" t="s">
        <v>20</v>
      </c>
      <c r="N44" t="str">
        <f>VLOOKUP(M44,$B$1:$C$17,2,0)</f>
        <v>addi x29, x28, 0x0000000c</v>
      </c>
      <c r="P44" s="1">
        <v>2</v>
      </c>
      <c r="S44" s="1">
        <v>0</v>
      </c>
      <c r="T44" s="1">
        <v>12</v>
      </c>
      <c r="U44" s="1" t="s">
        <v>33</v>
      </c>
      <c r="V44" s="1">
        <v>2</v>
      </c>
      <c r="X44" t="str">
        <f t="shared" si="0"/>
        <v>Register[ 12 ]Change From x To 2</v>
      </c>
    </row>
    <row r="45" spans="13:24" x14ac:dyDescent="0.3">
      <c r="M45" s="2" t="s">
        <v>30</v>
      </c>
      <c r="N45" t="str">
        <f>VLOOKUP(M45,$B$1:$C$17,2,0)</f>
        <v>addi x6, x6, 4</v>
      </c>
      <c r="P45" s="1">
        <v>4</v>
      </c>
      <c r="S45" s="1">
        <v>0</v>
      </c>
      <c r="T45" s="1">
        <v>6</v>
      </c>
      <c r="U45" s="1">
        <v>0</v>
      </c>
      <c r="V45" s="1">
        <v>4</v>
      </c>
      <c r="X45" t="str">
        <f t="shared" si="0"/>
        <v>Register[ 6 ]Change From 0 To 4</v>
      </c>
    </row>
    <row r="46" spans="13:24" x14ac:dyDescent="0.3">
      <c r="M46" s="2" t="s">
        <v>31</v>
      </c>
      <c r="N46" t="str">
        <f>VLOOKUP(M46,$B$1:$C$17,2,0)</f>
        <v>addi x7, x7, 1</v>
      </c>
      <c r="P46" s="1">
        <v>1</v>
      </c>
      <c r="S46" s="1">
        <v>0</v>
      </c>
      <c r="T46" s="1">
        <v>7</v>
      </c>
      <c r="U46" s="1">
        <v>0</v>
      </c>
      <c r="V46" s="1">
        <v>1</v>
      </c>
      <c r="X46" t="str">
        <f t="shared" si="0"/>
        <v>Register[ 7 ]Change From 0 To 1</v>
      </c>
    </row>
    <row r="47" spans="13:24" x14ac:dyDescent="0.3">
      <c r="M47" s="2" t="s">
        <v>23</v>
      </c>
      <c r="N47" t="str">
        <f>VLOOKUP(M47,$B$1:$C$17,2,0)</f>
        <v>addi x5, x7, 0xffffffe4</v>
      </c>
      <c r="P47" s="1">
        <v>1</v>
      </c>
      <c r="S47" s="1">
        <v>0</v>
      </c>
      <c r="T47" s="1">
        <v>5</v>
      </c>
      <c r="U47" s="1">
        <v>2</v>
      </c>
      <c r="V47" s="1">
        <v>1</v>
      </c>
      <c r="X47" t="str">
        <f t="shared" si="0"/>
        <v>Register[ 5 ]Change From 2 To 1</v>
      </c>
    </row>
    <row r="48" spans="13:24" x14ac:dyDescent="0.3">
      <c r="M48" s="2" t="s">
        <v>28</v>
      </c>
      <c r="N48" t="str">
        <f>VLOOKUP(M48,$B$1:$C$17,2,0)</f>
        <v>lw x28, 0(x6)</v>
      </c>
      <c r="P48" s="1">
        <v>4</v>
      </c>
      <c r="S48" s="1">
        <v>0</v>
      </c>
      <c r="T48" s="1">
        <v>28</v>
      </c>
      <c r="U48" s="1">
        <v>3</v>
      </c>
      <c r="V48" s="1">
        <v>5</v>
      </c>
      <c r="X48" t="str">
        <f t="shared" si="0"/>
        <v>Register[ 28 ]Change From 3 To 5</v>
      </c>
    </row>
    <row r="49" spans="13:24" x14ac:dyDescent="0.3">
      <c r="M49" s="2" t="s">
        <v>29</v>
      </c>
      <c r="N49" t="str">
        <f>VLOOKUP(M49,$B$1:$C$17,2,0)</f>
        <v>lw x29, 4(x6)</v>
      </c>
      <c r="P49" s="1">
        <v>8</v>
      </c>
      <c r="S49" s="1">
        <v>0</v>
      </c>
      <c r="T49" s="1">
        <v>29</v>
      </c>
      <c r="U49" s="1">
        <v>5</v>
      </c>
      <c r="V49" s="1">
        <v>1</v>
      </c>
      <c r="X49" t="str">
        <f t="shared" si="0"/>
        <v>Register[ 29 ]Change From 5 To 1</v>
      </c>
    </row>
    <row r="50" spans="13:24" x14ac:dyDescent="0.3">
      <c r="M50" s="2" t="s">
        <v>20</v>
      </c>
      <c r="N50" t="str">
        <f>VLOOKUP(M50,$B$1:$C$17,2,0)</f>
        <v>addi x29, x28, 0x0000000c</v>
      </c>
      <c r="P50" s="1">
        <v>4294967292</v>
      </c>
      <c r="S50" s="1">
        <v>0</v>
      </c>
      <c r="T50" s="1">
        <v>12</v>
      </c>
      <c r="U50" s="1" t="s">
        <v>33</v>
      </c>
      <c r="V50" s="1">
        <v>4294967292</v>
      </c>
      <c r="X50" t="str">
        <f t="shared" si="0"/>
        <v>Register[ 12 ]Change From x To 4294967292</v>
      </c>
    </row>
    <row r="51" spans="13:24" x14ac:dyDescent="0.3">
      <c r="M51" s="2" t="s">
        <v>21</v>
      </c>
      <c r="N51" t="str">
        <f>VLOOKUP(M51,$B$1:$C$17,2,0)</f>
        <v>sw x29, 0(x6)</v>
      </c>
      <c r="P51" s="1">
        <v>4</v>
      </c>
      <c r="Q51">
        <v>5</v>
      </c>
      <c r="R51">
        <v>1</v>
      </c>
      <c r="S51" s="1">
        <v>1</v>
      </c>
      <c r="T51" s="1">
        <v>0</v>
      </c>
      <c r="U51" s="1" t="s">
        <v>33</v>
      </c>
      <c r="V51" s="1">
        <v>4</v>
      </c>
      <c r="X51" t="str">
        <f t="shared" si="0"/>
        <v>DataMemory[ 4 ]Change From 5 To 1</v>
      </c>
    </row>
    <row r="52" spans="13:24" x14ac:dyDescent="0.3">
      <c r="M52" s="2" t="s">
        <v>22</v>
      </c>
      <c r="N52" t="str">
        <f>VLOOKUP(M52,$B$1:$C$17,2,0)</f>
        <v>sw x28, 4(x6)</v>
      </c>
      <c r="P52" s="1">
        <v>8</v>
      </c>
      <c r="Q52">
        <v>1</v>
      </c>
      <c r="R52">
        <v>5</v>
      </c>
      <c r="S52" s="1">
        <v>1</v>
      </c>
      <c r="T52" s="1">
        <v>4</v>
      </c>
      <c r="U52" s="1" t="s">
        <v>33</v>
      </c>
      <c r="V52" s="1">
        <v>8</v>
      </c>
      <c r="X52" t="str">
        <f t="shared" si="0"/>
        <v>DataMemory[ 8 ]Change From 1 To 5</v>
      </c>
    </row>
    <row r="53" spans="13:24" x14ac:dyDescent="0.3">
      <c r="M53" s="2" t="s">
        <v>30</v>
      </c>
      <c r="N53" t="str">
        <f>VLOOKUP(M53,$B$1:$C$17,2,0)</f>
        <v>addi x6, x6, 4</v>
      </c>
      <c r="P53" s="1">
        <v>8</v>
      </c>
      <c r="S53" s="1">
        <v>0</v>
      </c>
      <c r="T53" s="1">
        <v>6</v>
      </c>
      <c r="U53" s="1">
        <v>4</v>
      </c>
      <c r="V53" s="1">
        <v>8</v>
      </c>
      <c r="X53" t="str">
        <f t="shared" si="0"/>
        <v>Register[ 6 ]Change From 4 To 8</v>
      </c>
    </row>
    <row r="54" spans="13:24" x14ac:dyDescent="0.3">
      <c r="M54" s="2" t="s">
        <v>31</v>
      </c>
      <c r="N54" t="str">
        <f>VLOOKUP(M54,$B$1:$C$17,2,0)</f>
        <v>addi x7, x7, 1</v>
      </c>
      <c r="P54" s="1">
        <v>2</v>
      </c>
      <c r="S54" s="1">
        <v>0</v>
      </c>
      <c r="T54" s="1">
        <v>7</v>
      </c>
      <c r="U54" s="1">
        <v>1</v>
      </c>
      <c r="V54" s="1">
        <v>2</v>
      </c>
      <c r="X54" t="str">
        <f t="shared" si="0"/>
        <v>Register[ 7 ]Change From 1 To 2</v>
      </c>
    </row>
    <row r="55" spans="13:24" x14ac:dyDescent="0.3">
      <c r="M55" s="2" t="s">
        <v>23</v>
      </c>
      <c r="N55" t="str">
        <f>VLOOKUP(M55,$B$1:$C$17,2,0)</f>
        <v>addi x5, x7, 0xffffffe4</v>
      </c>
      <c r="P55" s="1">
        <v>0</v>
      </c>
      <c r="S55" s="1">
        <v>0</v>
      </c>
      <c r="T55" s="1">
        <v>5</v>
      </c>
      <c r="U55" s="1">
        <v>2</v>
      </c>
      <c r="V55" s="1">
        <v>0</v>
      </c>
      <c r="X55" t="str">
        <f t="shared" si="0"/>
        <v>Register[ 5 ]Change From 2 To 0</v>
      </c>
    </row>
    <row r="56" spans="13:24" x14ac:dyDescent="0.3">
      <c r="M56" s="2" t="s">
        <v>28</v>
      </c>
      <c r="N56" t="str">
        <f>VLOOKUP(M56,$B$1:$C$17,2,0)</f>
        <v>lw x28, 0(x6)</v>
      </c>
      <c r="P56" s="1">
        <v>8</v>
      </c>
      <c r="S56" s="1">
        <v>0</v>
      </c>
      <c r="T56" s="1">
        <v>28</v>
      </c>
      <c r="U56" s="1">
        <v>5</v>
      </c>
      <c r="V56" s="1">
        <v>5</v>
      </c>
      <c r="X56" t="str">
        <f t="shared" si="0"/>
        <v>Register[ 28 ]Change From 5 To 5</v>
      </c>
    </row>
    <row r="57" spans="13:24" x14ac:dyDescent="0.3">
      <c r="M57" s="2" t="s">
        <v>29</v>
      </c>
      <c r="N57" t="str">
        <f>VLOOKUP(M57,$B$1:$C$17,2,0)</f>
        <v>lw x29, 4(x6)</v>
      </c>
      <c r="P57" s="1">
        <v>12</v>
      </c>
      <c r="S57" s="1">
        <v>0</v>
      </c>
      <c r="T57" s="1">
        <v>29</v>
      </c>
      <c r="U57" s="1">
        <v>1</v>
      </c>
      <c r="V57" s="1">
        <v>7</v>
      </c>
      <c r="X57" t="str">
        <f t="shared" si="0"/>
        <v>Register[ 29 ]Change From 1 To 7</v>
      </c>
    </row>
    <row r="58" spans="13:24" x14ac:dyDescent="0.3">
      <c r="M58" s="2" t="s">
        <v>20</v>
      </c>
      <c r="N58" t="str">
        <f>VLOOKUP(M58,$B$1:$C$17,2,0)</f>
        <v>addi x29, x28, 0x0000000c</v>
      </c>
      <c r="P58" s="1">
        <v>2</v>
      </c>
      <c r="S58" s="1">
        <v>0</v>
      </c>
      <c r="T58" s="1">
        <v>12</v>
      </c>
      <c r="U58" s="1" t="s">
        <v>33</v>
      </c>
      <c r="V58" s="1">
        <v>2</v>
      </c>
      <c r="X58" t="str">
        <f t="shared" si="0"/>
        <v>Register[ 12 ]Change From x To 2</v>
      </c>
    </row>
    <row r="59" spans="13:24" x14ac:dyDescent="0.3">
      <c r="M59" s="2" t="s">
        <v>30</v>
      </c>
      <c r="N59" t="str">
        <f>VLOOKUP(M59,$B$1:$C$17,2,0)</f>
        <v>addi x6, x6, 4</v>
      </c>
      <c r="P59" s="1">
        <v>12</v>
      </c>
      <c r="S59" s="1">
        <v>0</v>
      </c>
      <c r="T59" s="1">
        <v>6</v>
      </c>
      <c r="U59" s="1">
        <v>8</v>
      </c>
      <c r="V59" s="1">
        <v>12</v>
      </c>
      <c r="X59" t="str">
        <f t="shared" si="0"/>
        <v>Register[ 6 ]Change From 8 To 12</v>
      </c>
    </row>
    <row r="60" spans="13:24" x14ac:dyDescent="0.3">
      <c r="M60" s="2" t="s">
        <v>31</v>
      </c>
      <c r="N60" t="str">
        <f>VLOOKUP(M60,$B$1:$C$17,2,0)</f>
        <v>addi x7, x7, 1</v>
      </c>
      <c r="P60" s="1">
        <v>3</v>
      </c>
      <c r="S60" s="1">
        <v>0</v>
      </c>
      <c r="T60" s="1">
        <v>7</v>
      </c>
      <c r="U60" s="1">
        <v>2</v>
      </c>
      <c r="V60" s="1">
        <v>3</v>
      </c>
      <c r="X60" t="str">
        <f t="shared" si="0"/>
        <v>Register[ 7 ]Change From 2 To 3</v>
      </c>
    </row>
    <row r="61" spans="13:24" x14ac:dyDescent="0.3">
      <c r="M61" s="2" t="s">
        <v>23</v>
      </c>
      <c r="N61" t="str">
        <f>VLOOKUP(M61,$B$1:$C$17,2,0)</f>
        <v>addi x5, x7, 0xffffffe4</v>
      </c>
      <c r="P61" s="1">
        <v>4294967295</v>
      </c>
      <c r="S61" s="1">
        <v>0</v>
      </c>
      <c r="T61" s="1">
        <v>5</v>
      </c>
      <c r="U61" s="1">
        <v>2</v>
      </c>
      <c r="V61" s="1">
        <v>4294967295</v>
      </c>
      <c r="X61" t="str">
        <f t="shared" si="0"/>
        <v>Register[ 5 ]Change From 2 To 4294967295</v>
      </c>
    </row>
    <row r="62" spans="13:24" x14ac:dyDescent="0.3">
      <c r="M62" s="2" t="s">
        <v>16</v>
      </c>
      <c r="N62" t="str">
        <f>VLOOKUP(M62,$B$1:$C$17,2,0)</f>
        <v>auipc x6, 0x0000fc10</v>
      </c>
      <c r="P62" s="1" t="s">
        <v>34</v>
      </c>
      <c r="S62" s="1">
        <v>0</v>
      </c>
      <c r="T62" s="1">
        <v>6</v>
      </c>
      <c r="U62" s="1">
        <v>12</v>
      </c>
      <c r="V62" s="1">
        <v>56</v>
      </c>
      <c r="X62" t="str">
        <f t="shared" si="0"/>
        <v>Register[ 6 ]Change From 12 To 56</v>
      </c>
    </row>
    <row r="63" spans="13:24" x14ac:dyDescent="0.3">
      <c r="M63" s="2" t="s">
        <v>24</v>
      </c>
      <c r="N63" t="str">
        <f>VLOOKUP(M63,$B$1:$C$17,2,0)</f>
        <v>addi x6, x6, 0xffffffc8</v>
      </c>
      <c r="P63" s="1">
        <v>0</v>
      </c>
      <c r="S63" s="1">
        <v>0</v>
      </c>
      <c r="T63" s="1">
        <v>6</v>
      </c>
      <c r="U63" s="1">
        <v>56</v>
      </c>
      <c r="V63" s="1">
        <v>0</v>
      </c>
      <c r="X63" t="str">
        <f t="shared" si="0"/>
        <v>Register[ 6 ]Change From 56 To 0</v>
      </c>
    </row>
    <row r="64" spans="13:24" x14ac:dyDescent="0.3">
      <c r="M64" s="2" t="s">
        <v>25</v>
      </c>
      <c r="N64" t="str">
        <f>VLOOKUP(M64,$B$1:$C$17,2,0)</f>
        <v>bge x5, x30, 0xffffffd0</v>
      </c>
      <c r="P64" s="1">
        <v>1</v>
      </c>
      <c r="S64" s="1">
        <v>0</v>
      </c>
      <c r="T64" s="1">
        <v>17</v>
      </c>
      <c r="U64" s="1" t="s">
        <v>33</v>
      </c>
      <c r="V64" s="1">
        <v>1</v>
      </c>
      <c r="X64" t="str">
        <f t="shared" si="0"/>
        <v>Register[ 17 ]Change From x To 1</v>
      </c>
    </row>
    <row r="65" spans="13:24" x14ac:dyDescent="0.3">
      <c r="M65" s="2" t="s">
        <v>19</v>
      </c>
      <c r="N65" t="str">
        <f>VLOOKUP(M65,$B$1:$C$17,2,0)</f>
        <v>addi x5, x5, -1</v>
      </c>
      <c r="P65" s="1">
        <v>1</v>
      </c>
      <c r="S65" s="1">
        <v>0</v>
      </c>
      <c r="T65" s="1">
        <v>5</v>
      </c>
      <c r="U65" s="1">
        <v>2</v>
      </c>
      <c r="V65" s="1">
        <v>1</v>
      </c>
      <c r="X65" t="str">
        <f t="shared" si="0"/>
        <v>Register[ 5 ]Change From 2 To 1</v>
      </c>
    </row>
    <row r="66" spans="13:24" x14ac:dyDescent="0.3">
      <c r="M66" s="2" t="s">
        <v>27</v>
      </c>
      <c r="N66" t="str">
        <f>VLOOKUP(M66,$B$1:$C$17,2,0)</f>
        <v>addi x7, x0, 0</v>
      </c>
      <c r="P66" s="1">
        <v>0</v>
      </c>
      <c r="S66" s="1">
        <v>0</v>
      </c>
      <c r="T66" s="1">
        <v>7</v>
      </c>
      <c r="U66" s="1">
        <v>3</v>
      </c>
      <c r="V66" s="1">
        <v>0</v>
      </c>
      <c r="X66" t="str">
        <f t="shared" ref="X66:X94" si="1">IF(S66,_xlfn.TEXTJOIN(" ",1,"DataMemory[",P66,"]Change From",Q66,"To",R66),_xlfn.TEXTJOIN(" ",1,"Register[",T66,"]Change From",U66,"To",V66))</f>
        <v>Register[ 7 ]Change From 3 To 0</v>
      </c>
    </row>
    <row r="67" spans="13:24" x14ac:dyDescent="0.3">
      <c r="M67" s="2" t="s">
        <v>28</v>
      </c>
      <c r="N67" t="str">
        <f>VLOOKUP(M67,$B$1:$C$17,2,0)</f>
        <v>lw x28, 0(x6)</v>
      </c>
      <c r="P67" s="1">
        <v>0</v>
      </c>
      <c r="S67" s="1">
        <v>0</v>
      </c>
      <c r="T67" s="1">
        <v>28</v>
      </c>
      <c r="U67" s="1">
        <v>5</v>
      </c>
      <c r="V67" s="1">
        <v>3</v>
      </c>
      <c r="X67" t="str">
        <f t="shared" si="1"/>
        <v>Register[ 28 ]Change From 5 To 3</v>
      </c>
    </row>
    <row r="68" spans="13:24" x14ac:dyDescent="0.3">
      <c r="M68" s="2" t="s">
        <v>29</v>
      </c>
      <c r="N68" t="str">
        <f>VLOOKUP(M68,$B$1:$C$17,2,0)</f>
        <v>lw x29, 4(x6)</v>
      </c>
      <c r="P68" s="1">
        <v>4</v>
      </c>
      <c r="S68" s="1">
        <v>0</v>
      </c>
      <c r="T68" s="1">
        <v>29</v>
      </c>
      <c r="U68" s="1">
        <v>7</v>
      </c>
      <c r="V68" s="1">
        <v>1</v>
      </c>
      <c r="X68" t="str">
        <f t="shared" si="1"/>
        <v>Register[ 29 ]Change From 7 To 1</v>
      </c>
    </row>
    <row r="69" spans="13:24" x14ac:dyDescent="0.3">
      <c r="M69" s="2" t="s">
        <v>20</v>
      </c>
      <c r="N69" t="str">
        <f>VLOOKUP(M69,$B$1:$C$17,2,0)</f>
        <v>addi x29, x28, 0x0000000c</v>
      </c>
      <c r="P69" s="1">
        <v>4294967294</v>
      </c>
      <c r="S69" s="1">
        <v>0</v>
      </c>
      <c r="T69" s="1">
        <v>12</v>
      </c>
      <c r="U69" s="1" t="s">
        <v>33</v>
      </c>
      <c r="V69" s="1">
        <v>4294967294</v>
      </c>
      <c r="X69" t="str">
        <f t="shared" si="1"/>
        <v>Register[ 12 ]Change From x To 4294967294</v>
      </c>
    </row>
    <row r="70" spans="13:24" x14ac:dyDescent="0.3">
      <c r="M70" s="2" t="s">
        <v>21</v>
      </c>
      <c r="N70" t="str">
        <f>VLOOKUP(M70,$B$1:$C$17,2,0)</f>
        <v>sw x29, 0(x6)</v>
      </c>
      <c r="P70" s="1">
        <v>0</v>
      </c>
      <c r="Q70">
        <v>3</v>
      </c>
      <c r="R70">
        <v>1</v>
      </c>
      <c r="S70" s="1">
        <v>1</v>
      </c>
      <c r="T70" s="1">
        <v>0</v>
      </c>
      <c r="U70" s="1" t="s">
        <v>33</v>
      </c>
      <c r="V70" s="1">
        <v>0</v>
      </c>
      <c r="X70" t="str">
        <f t="shared" si="1"/>
        <v>DataMemory[ 0 ]Change From 3 To 1</v>
      </c>
    </row>
    <row r="71" spans="13:24" x14ac:dyDescent="0.3">
      <c r="M71" s="2" t="s">
        <v>22</v>
      </c>
      <c r="N71" t="str">
        <f>VLOOKUP(M71,$B$1:$C$17,2,0)</f>
        <v>sw x28, 4(x6)</v>
      </c>
      <c r="P71" s="1">
        <v>4</v>
      </c>
      <c r="Q71">
        <v>1</v>
      </c>
      <c r="R71">
        <v>3</v>
      </c>
      <c r="S71" s="1">
        <v>1</v>
      </c>
      <c r="T71" s="1">
        <v>4</v>
      </c>
      <c r="U71" s="1" t="s">
        <v>33</v>
      </c>
      <c r="V71" s="1">
        <v>4</v>
      </c>
      <c r="X71" t="str">
        <f t="shared" si="1"/>
        <v>DataMemory[ 4 ]Change From 1 To 3</v>
      </c>
    </row>
    <row r="72" spans="13:24" x14ac:dyDescent="0.3">
      <c r="M72" s="2" t="s">
        <v>30</v>
      </c>
      <c r="N72" t="str">
        <f>VLOOKUP(M72,$B$1:$C$17,2,0)</f>
        <v>addi x6, x6, 4</v>
      </c>
      <c r="P72" s="1">
        <v>4</v>
      </c>
      <c r="S72" s="1">
        <v>0</v>
      </c>
      <c r="T72" s="1">
        <v>6</v>
      </c>
      <c r="U72" s="1">
        <v>0</v>
      </c>
      <c r="V72" s="1">
        <v>4</v>
      </c>
      <c r="X72" t="str">
        <f t="shared" si="1"/>
        <v>Register[ 6 ]Change From 0 To 4</v>
      </c>
    </row>
    <row r="73" spans="13:24" x14ac:dyDescent="0.3">
      <c r="M73" s="2" t="s">
        <v>31</v>
      </c>
      <c r="N73" t="str">
        <f>VLOOKUP(M73,$B$1:$C$17,2,0)</f>
        <v>addi x7, x7, 1</v>
      </c>
      <c r="P73" s="1">
        <v>1</v>
      </c>
      <c r="S73" s="1">
        <v>0</v>
      </c>
      <c r="T73" s="1">
        <v>7</v>
      </c>
      <c r="U73" s="1">
        <v>0</v>
      </c>
      <c r="V73" s="1">
        <v>1</v>
      </c>
      <c r="X73" t="str">
        <f t="shared" si="1"/>
        <v>Register[ 7 ]Change From 0 To 1</v>
      </c>
    </row>
    <row r="74" spans="13:24" x14ac:dyDescent="0.3">
      <c r="M74" s="2" t="s">
        <v>23</v>
      </c>
      <c r="N74" t="str">
        <f>VLOOKUP(M74,$B$1:$C$17,2,0)</f>
        <v>addi x5, x7, 0xffffffe4</v>
      </c>
      <c r="P74" s="1">
        <v>0</v>
      </c>
      <c r="S74" s="1">
        <v>0</v>
      </c>
      <c r="T74" s="1">
        <v>5</v>
      </c>
      <c r="U74" s="1">
        <v>1</v>
      </c>
      <c r="V74" s="1">
        <v>0</v>
      </c>
      <c r="X74" t="str">
        <f t="shared" si="1"/>
        <v>Register[ 5 ]Change From 1 To 0</v>
      </c>
    </row>
    <row r="75" spans="13:24" x14ac:dyDescent="0.3">
      <c r="M75" s="2" t="s">
        <v>28</v>
      </c>
      <c r="N75" t="str">
        <f>VLOOKUP(M75,$B$1:$C$17,2,0)</f>
        <v>lw x28, 0(x6)</v>
      </c>
      <c r="P75" s="1">
        <v>4</v>
      </c>
      <c r="S75" s="1">
        <v>0</v>
      </c>
      <c r="T75" s="1">
        <v>28</v>
      </c>
      <c r="U75" s="1">
        <v>3</v>
      </c>
      <c r="V75" s="1">
        <v>3</v>
      </c>
      <c r="X75" t="str">
        <f t="shared" si="1"/>
        <v>Register[ 28 ]Change From 3 To 3</v>
      </c>
    </row>
    <row r="76" spans="13:24" x14ac:dyDescent="0.3">
      <c r="M76" s="2" t="s">
        <v>29</v>
      </c>
      <c r="N76" t="str">
        <f>VLOOKUP(M76,$B$1:$C$17,2,0)</f>
        <v>lw x29, 4(x6)</v>
      </c>
      <c r="P76" s="1">
        <v>8</v>
      </c>
      <c r="S76" s="1">
        <v>0</v>
      </c>
      <c r="T76" s="1">
        <v>29</v>
      </c>
      <c r="U76" s="1">
        <v>1</v>
      </c>
      <c r="V76" s="1">
        <v>5</v>
      </c>
      <c r="X76" t="str">
        <f t="shared" si="1"/>
        <v>Register[ 29 ]Change From 1 To 5</v>
      </c>
    </row>
    <row r="77" spans="13:24" x14ac:dyDescent="0.3">
      <c r="M77" s="2" t="s">
        <v>20</v>
      </c>
      <c r="N77" t="str">
        <f>VLOOKUP(M77,$B$1:$C$17,2,0)</f>
        <v>addi x29, x28, 0x0000000c</v>
      </c>
      <c r="P77" s="1">
        <v>2</v>
      </c>
      <c r="S77" s="1">
        <v>0</v>
      </c>
      <c r="T77" s="1">
        <v>12</v>
      </c>
      <c r="U77" s="1" t="s">
        <v>33</v>
      </c>
      <c r="V77" s="1">
        <v>2</v>
      </c>
      <c r="X77" t="str">
        <f t="shared" si="1"/>
        <v>Register[ 12 ]Change From x To 2</v>
      </c>
    </row>
    <row r="78" spans="13:24" x14ac:dyDescent="0.3">
      <c r="M78" s="2" t="s">
        <v>30</v>
      </c>
      <c r="N78" t="str">
        <f>VLOOKUP(M78,$B$1:$C$17,2,0)</f>
        <v>addi x6, x6, 4</v>
      </c>
      <c r="P78" s="1">
        <v>8</v>
      </c>
      <c r="S78" s="1">
        <v>0</v>
      </c>
      <c r="T78" s="1">
        <v>6</v>
      </c>
      <c r="U78" s="1">
        <v>4</v>
      </c>
      <c r="V78" s="1">
        <v>8</v>
      </c>
      <c r="X78" t="str">
        <f t="shared" si="1"/>
        <v>Register[ 6 ]Change From 4 To 8</v>
      </c>
    </row>
    <row r="79" spans="13:24" x14ac:dyDescent="0.3">
      <c r="M79" s="2" t="s">
        <v>31</v>
      </c>
      <c r="N79" t="str">
        <f>VLOOKUP(M79,$B$1:$C$17,2,0)</f>
        <v>addi x7, x7, 1</v>
      </c>
      <c r="P79" s="1">
        <v>2</v>
      </c>
      <c r="S79" s="1">
        <v>0</v>
      </c>
      <c r="T79" s="1">
        <v>7</v>
      </c>
      <c r="U79" s="1">
        <v>1</v>
      </c>
      <c r="V79" s="1">
        <v>2</v>
      </c>
      <c r="X79" t="str">
        <f t="shared" si="1"/>
        <v>Register[ 7 ]Change From 1 To 2</v>
      </c>
    </row>
    <row r="80" spans="13:24" x14ac:dyDescent="0.3">
      <c r="M80" s="2" t="s">
        <v>23</v>
      </c>
      <c r="N80" t="str">
        <f>VLOOKUP(M80,$B$1:$C$17,2,0)</f>
        <v>addi x5, x7, 0xffffffe4</v>
      </c>
      <c r="P80" s="1">
        <v>4294967295</v>
      </c>
      <c r="S80" s="1">
        <v>0</v>
      </c>
      <c r="T80" s="1">
        <v>5</v>
      </c>
      <c r="U80" s="1">
        <v>1</v>
      </c>
      <c r="V80" s="1">
        <v>4294967295</v>
      </c>
      <c r="X80" t="str">
        <f t="shared" si="1"/>
        <v>Register[ 5 ]Change From 1 To 4294967295</v>
      </c>
    </row>
    <row r="81" spans="13:24" x14ac:dyDescent="0.3">
      <c r="M81" s="2" t="s">
        <v>16</v>
      </c>
      <c r="N81" t="str">
        <f>VLOOKUP(M81,$B$1:$C$17,2,0)</f>
        <v>auipc x6, 0x0000fc10</v>
      </c>
      <c r="P81" s="1" t="s">
        <v>34</v>
      </c>
      <c r="S81" s="1">
        <v>0</v>
      </c>
      <c r="T81" s="1">
        <v>6</v>
      </c>
      <c r="U81" s="1">
        <v>8</v>
      </c>
      <c r="V81" s="1">
        <v>56</v>
      </c>
      <c r="X81" t="str">
        <f t="shared" si="1"/>
        <v>Register[ 6 ]Change From 8 To 56</v>
      </c>
    </row>
    <row r="82" spans="13:24" x14ac:dyDescent="0.3">
      <c r="M82" s="2" t="s">
        <v>24</v>
      </c>
      <c r="N82" t="str">
        <f>VLOOKUP(M82,$B$1:$C$17,2,0)</f>
        <v>addi x6, x6, 0xffffffc8</v>
      </c>
      <c r="P82" s="1">
        <v>0</v>
      </c>
      <c r="S82" s="1">
        <v>0</v>
      </c>
      <c r="T82" s="1">
        <v>6</v>
      </c>
      <c r="U82" s="1">
        <v>56</v>
      </c>
      <c r="V82" s="1">
        <v>0</v>
      </c>
      <c r="X82" t="str">
        <f t="shared" si="1"/>
        <v>Register[ 6 ]Change From 56 To 0</v>
      </c>
    </row>
    <row r="83" spans="13:24" x14ac:dyDescent="0.3">
      <c r="M83" s="2" t="s">
        <v>25</v>
      </c>
      <c r="N83" t="str">
        <f>VLOOKUP(M83,$B$1:$C$17,2,0)</f>
        <v>bge x5, x30, 0xffffffd0</v>
      </c>
      <c r="P83" s="1">
        <v>0</v>
      </c>
      <c r="S83" s="1">
        <v>0</v>
      </c>
      <c r="T83" s="1">
        <v>17</v>
      </c>
      <c r="U83" s="1" t="s">
        <v>33</v>
      </c>
      <c r="V83" s="1">
        <v>0</v>
      </c>
      <c r="X83" t="str">
        <f t="shared" si="1"/>
        <v>Register[ 17 ]Change From x To 0</v>
      </c>
    </row>
    <row r="84" spans="13:24" x14ac:dyDescent="0.3">
      <c r="M84" s="2" t="s">
        <v>19</v>
      </c>
      <c r="N84" t="str">
        <f>VLOOKUP(M84,$B$1:$C$17,2,0)</f>
        <v>addi x5, x5, -1</v>
      </c>
      <c r="P84" s="1">
        <v>0</v>
      </c>
      <c r="S84" s="1">
        <v>0</v>
      </c>
      <c r="T84" s="1">
        <v>5</v>
      </c>
      <c r="U84" s="1">
        <v>1</v>
      </c>
      <c r="V84" s="1">
        <v>0</v>
      </c>
      <c r="X84" t="str">
        <f t="shared" si="1"/>
        <v>Register[ 5 ]Change From 1 To 0</v>
      </c>
    </row>
    <row r="85" spans="13:24" x14ac:dyDescent="0.3">
      <c r="M85" s="2" t="s">
        <v>27</v>
      </c>
      <c r="N85" t="str">
        <f>VLOOKUP(M85,$B$1:$C$17,2,0)</f>
        <v>addi x7, x0, 0</v>
      </c>
      <c r="P85" s="1">
        <v>0</v>
      </c>
      <c r="S85" s="1">
        <v>0</v>
      </c>
      <c r="T85" s="1">
        <v>7</v>
      </c>
      <c r="U85" s="1">
        <v>2</v>
      </c>
      <c r="V85" s="1">
        <v>0</v>
      </c>
      <c r="X85" t="str">
        <f t="shared" si="1"/>
        <v>Register[ 7 ]Change From 2 To 0</v>
      </c>
    </row>
    <row r="86" spans="13:24" x14ac:dyDescent="0.3">
      <c r="M86" s="2" t="s">
        <v>28</v>
      </c>
      <c r="N86" t="str">
        <f>VLOOKUP(M86,$B$1:$C$17,2,0)</f>
        <v>lw x28, 0(x6)</v>
      </c>
      <c r="P86" s="1">
        <v>0</v>
      </c>
      <c r="S86" s="1">
        <v>0</v>
      </c>
      <c r="T86" s="1">
        <v>28</v>
      </c>
      <c r="U86" s="1">
        <v>3</v>
      </c>
      <c r="V86" s="1">
        <v>1</v>
      </c>
      <c r="X86" t="str">
        <f t="shared" si="1"/>
        <v>Register[ 28 ]Change From 3 To 1</v>
      </c>
    </row>
    <row r="87" spans="13:24" x14ac:dyDescent="0.3">
      <c r="M87" s="2" t="s">
        <v>29</v>
      </c>
      <c r="N87" t="str">
        <f>VLOOKUP(M87,$B$1:$C$17,2,0)</f>
        <v>lw x29, 4(x6)</v>
      </c>
      <c r="P87" s="1">
        <v>4</v>
      </c>
      <c r="S87" s="1">
        <v>0</v>
      </c>
      <c r="T87" s="1">
        <v>29</v>
      </c>
      <c r="U87" s="1">
        <v>5</v>
      </c>
      <c r="V87" s="1">
        <v>3</v>
      </c>
      <c r="X87" t="str">
        <f t="shared" si="1"/>
        <v>Register[ 29 ]Change From 5 To 3</v>
      </c>
    </row>
    <row r="88" spans="13:24" x14ac:dyDescent="0.3">
      <c r="M88" s="2" t="s">
        <v>20</v>
      </c>
      <c r="N88" t="str">
        <f>VLOOKUP(M88,$B$1:$C$17,2,0)</f>
        <v>addi x29, x28, 0x0000000c</v>
      </c>
      <c r="P88" s="1">
        <v>2</v>
      </c>
      <c r="S88" s="1">
        <v>0</v>
      </c>
      <c r="T88" s="1">
        <v>12</v>
      </c>
      <c r="U88" s="1" t="s">
        <v>33</v>
      </c>
      <c r="V88" s="1">
        <v>2</v>
      </c>
      <c r="X88" t="str">
        <f t="shared" si="1"/>
        <v>Register[ 12 ]Change From x To 2</v>
      </c>
    </row>
    <row r="89" spans="13:24" x14ac:dyDescent="0.3">
      <c r="M89" s="2" t="s">
        <v>30</v>
      </c>
      <c r="N89" t="str">
        <f>VLOOKUP(M89,$B$1:$C$17,2,0)</f>
        <v>addi x6, x6, 4</v>
      </c>
      <c r="P89" s="1">
        <v>4</v>
      </c>
      <c r="S89" s="1">
        <v>0</v>
      </c>
      <c r="T89" s="1">
        <v>6</v>
      </c>
      <c r="U89" s="1">
        <v>0</v>
      </c>
      <c r="V89" s="1">
        <v>4</v>
      </c>
      <c r="X89" t="str">
        <f t="shared" si="1"/>
        <v>Register[ 6 ]Change From 0 To 4</v>
      </c>
    </row>
    <row r="90" spans="13:24" x14ac:dyDescent="0.3">
      <c r="M90" s="2" t="s">
        <v>31</v>
      </c>
      <c r="N90" t="str">
        <f>VLOOKUP(M90,$B$1:$C$17,2,0)</f>
        <v>addi x7, x7, 1</v>
      </c>
      <c r="P90" s="1">
        <v>1</v>
      </c>
      <c r="S90" s="1">
        <v>0</v>
      </c>
      <c r="T90" s="1">
        <v>7</v>
      </c>
      <c r="U90" s="1">
        <v>0</v>
      </c>
      <c r="V90" s="1">
        <v>1</v>
      </c>
      <c r="X90" t="str">
        <f t="shared" si="1"/>
        <v>Register[ 7 ]Change From 0 To 1</v>
      </c>
    </row>
    <row r="91" spans="13:24" x14ac:dyDescent="0.3">
      <c r="M91" s="2" t="s">
        <v>23</v>
      </c>
      <c r="N91" t="str">
        <f>VLOOKUP(M91,$B$1:$C$17,2,0)</f>
        <v>addi x5, x7, 0xffffffe4</v>
      </c>
      <c r="P91" s="1">
        <v>4294967295</v>
      </c>
      <c r="S91" s="1">
        <v>0</v>
      </c>
      <c r="T91" s="1">
        <v>5</v>
      </c>
      <c r="U91" s="1">
        <v>0</v>
      </c>
      <c r="V91" s="1">
        <v>4294967295</v>
      </c>
      <c r="X91" t="str">
        <f t="shared" si="1"/>
        <v>Register[ 5 ]Change From 0 To 4294967295</v>
      </c>
    </row>
    <row r="92" spans="13:24" x14ac:dyDescent="0.3">
      <c r="M92" s="2" t="s">
        <v>16</v>
      </c>
      <c r="N92" t="str">
        <f>VLOOKUP(M92,$B$1:$C$17,2,0)</f>
        <v>auipc x6, 0x0000fc10</v>
      </c>
      <c r="P92" s="1" t="s">
        <v>34</v>
      </c>
      <c r="S92" s="1">
        <v>0</v>
      </c>
      <c r="T92" s="1">
        <v>6</v>
      </c>
      <c r="U92" s="1">
        <v>4</v>
      </c>
      <c r="V92" s="1">
        <v>56</v>
      </c>
      <c r="X92" t="str">
        <f t="shared" si="1"/>
        <v>Register[ 6 ]Change From 4 To 56</v>
      </c>
    </row>
    <row r="93" spans="13:24" x14ac:dyDescent="0.3">
      <c r="M93" s="2" t="s">
        <v>24</v>
      </c>
      <c r="N93" t="str">
        <f>VLOOKUP(M93,$B$1:$C$17,2,0)</f>
        <v>addi x6, x6, 0xffffffc8</v>
      </c>
      <c r="P93" s="1">
        <v>0</v>
      </c>
      <c r="S93" s="1">
        <v>0</v>
      </c>
      <c r="T93" s="1">
        <v>6</v>
      </c>
      <c r="U93" s="1">
        <v>56</v>
      </c>
      <c r="V93" s="1">
        <v>0</v>
      </c>
      <c r="X93" t="str">
        <f t="shared" si="1"/>
        <v>Register[ 6 ]Change From 56 To 0</v>
      </c>
    </row>
    <row r="94" spans="13:24" x14ac:dyDescent="0.3">
      <c r="M94" s="2" t="s">
        <v>25</v>
      </c>
      <c r="N94" t="str">
        <f>VLOOKUP(M94,$B$1:$C$17,2,0)</f>
        <v>bge x5, x30, 0xffffffd0</v>
      </c>
      <c r="P94" s="1">
        <v>4294967295</v>
      </c>
      <c r="S94" s="1">
        <v>0</v>
      </c>
      <c r="T94" s="1">
        <v>17</v>
      </c>
      <c r="U94" s="1" t="s">
        <v>33</v>
      </c>
      <c r="V94" s="1">
        <v>4294967295</v>
      </c>
      <c r="X94" t="str">
        <f t="shared" si="1"/>
        <v>Register[ 17 ]Change From x To 4294967295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Payne Liu</dc:creator>
  <cp:lastModifiedBy>Payne Liu</cp:lastModifiedBy>
  <dcterms:created xsi:type="dcterms:W3CDTF">2024-10-30T17:33:07Z</dcterms:created>
  <dcterms:modified xsi:type="dcterms:W3CDTF">2024-10-31T04:17:22Z</dcterms:modified>
</cp:coreProperties>
</file>